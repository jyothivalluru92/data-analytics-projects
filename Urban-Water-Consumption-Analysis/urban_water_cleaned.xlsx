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is_Projects\Urban Water Consumption Optimisation\02_excel\"/>
    </mc:Choice>
  </mc:AlternateContent>
  <xr:revisionPtr revIDLastSave="0" documentId="13_ncr:1_{2F3B44C7-CDD4-4B61-B8C5-C1A681DC2690}" xr6:coauthVersionLast="47" xr6:coauthVersionMax="47" xr10:uidLastSave="{00000000-0000-0000-0000-000000000000}"/>
  <bookViews>
    <workbookView xWindow="0" yWindow="0" windowWidth="23040" windowHeight="12240" xr2:uid="{C4C6D80A-DEE2-483D-8261-CC52249BBA06}"/>
  </bookViews>
  <sheets>
    <sheet name="water_usage" sheetId="1" r:id="rId1"/>
  </sheets>
  <definedNames>
    <definedName name="_xlnm._FilterDatabase" localSheetId="0" hidden="1">water_usage!$A$1:$K$31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</calcChain>
</file>

<file path=xl/sharedStrings.xml><?xml version="1.0" encoding="utf-8"?>
<sst xmlns="http://schemas.openxmlformats.org/spreadsheetml/2006/main" count="75" uniqueCount="21">
  <si>
    <t>household_id</t>
  </si>
  <si>
    <t>household_size</t>
  </si>
  <si>
    <t>tariff_slab</t>
  </si>
  <si>
    <t>district</t>
  </si>
  <si>
    <t>date</t>
  </si>
  <si>
    <t>temperature_c</t>
  </si>
  <si>
    <t>rain_mm</t>
  </si>
  <si>
    <t>kitchen_liters</t>
  </si>
  <si>
    <t>bathroom_liters</t>
  </si>
  <si>
    <t>laundry_liters</t>
  </si>
  <si>
    <t>leak_probability</t>
  </si>
  <si>
    <t>A</t>
  </si>
  <si>
    <t>East</t>
  </si>
  <si>
    <t>B</t>
  </si>
  <si>
    <t>West</t>
  </si>
  <si>
    <t>North</t>
  </si>
  <si>
    <t>C</t>
  </si>
  <si>
    <t>leak_flag</t>
  </si>
  <si>
    <t>efficiency_index</t>
  </si>
  <si>
    <t>total_usage</t>
  </si>
  <si>
    <t>per_capita_usage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</si>
</sst>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49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68B8-FC2A-45A0-85AD-ABACB7FBCD95}">
  <dimension ref="A1:O31"/>
  <sheetViews>
    <sheetView tabSelected="1" workbookViewId="0">
      <selection activeCell="O2" sqref="O2"/>
    </sheetView>
  </sheetViews>
  <sheetFormatPr defaultRowHeight="14.4" x14ac:dyDescent="0.3"/>
  <cols>
    <col min="1" max="1" width="11.88671875" style="1" bestFit="1" customWidth="1"/>
    <col min="2" max="2" width="13.5546875" style="1" bestFit="1" customWidth="1"/>
    <col min="3" max="3" width="9.33203125" style="2" bestFit="1" customWidth="1"/>
    <col min="4" max="4" width="6.5546875" style="2" bestFit="1" customWidth="1"/>
    <col min="5" max="5" width="10.33203125" style="4" bestFit="1" customWidth="1"/>
    <col min="6" max="6" width="13.21875" style="1" bestFit="1" customWidth="1"/>
    <col min="7" max="7" width="8.21875" style="1" bestFit="1" customWidth="1"/>
    <col min="8" max="8" width="11.88671875" style="1" bestFit="1" customWidth="1"/>
    <col min="9" max="9" width="14.21875" style="1" bestFit="1" customWidth="1"/>
    <col min="10" max="10" width="12" style="1" bestFit="1" customWidth="1"/>
    <col min="11" max="11" width="14.109375" style="3" bestFit="1" customWidth="1"/>
    <col min="12" max="12" width="21.5546875" bestFit="1" customWidth="1"/>
    <col min="13" max="13" width="21.5546875" style="1" bestFit="1" customWidth="1"/>
    <col min="14" max="14" width="11.77734375" bestFit="1" customWidth="1"/>
    <col min="15" max="15" width="14.33203125" style="2" bestFit="1" customWidth="1"/>
  </cols>
  <sheetData>
    <row r="1" spans="1:15" x14ac:dyDescent="0.3">
      <c r="A1" s="1" t="s">
        <v>0</v>
      </c>
      <c r="B1" s="1" t="s">
        <v>1</v>
      </c>
      <c r="C1" s="2" t="s">
        <v>2</v>
      </c>
      <c r="D1" s="2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19</v>
      </c>
      <c r="M1" s="1" t="s">
        <v>20</v>
      </c>
      <c r="N1" s="1" t="s">
        <v>17</v>
      </c>
      <c r="O1" s="2" t="s">
        <v>18</v>
      </c>
    </row>
    <row r="2" spans="1:15" x14ac:dyDescent="0.3">
      <c r="A2" s="1">
        <v>1</v>
      </c>
      <c r="B2" s="1">
        <v>4</v>
      </c>
      <c r="C2" s="2" t="s">
        <v>11</v>
      </c>
      <c r="D2" s="2" t="s">
        <v>12</v>
      </c>
      <c r="E2" s="4">
        <v>45292</v>
      </c>
      <c r="F2" s="1">
        <v>19.8</v>
      </c>
      <c r="G2" s="1">
        <v>0</v>
      </c>
      <c r="H2" s="1">
        <v>95</v>
      </c>
      <c r="I2" s="1">
        <v>210</v>
      </c>
      <c r="J2" s="1">
        <v>78</v>
      </c>
      <c r="K2" s="3">
        <v>0.04</v>
      </c>
      <c r="L2" s="1">
        <f>H2+I2+J2</f>
        <v>383</v>
      </c>
      <c r="M2" s="1">
        <f>L2/B2</f>
        <v>95.75</v>
      </c>
      <c r="N2" s="2" t="str">
        <f>IF(K2&gt;0.05,"Possible Leak","Normal")</f>
        <v>Normal</v>
      </c>
      <c r="O2" s="2" t="str">
        <f>IF(K2&lt;300,"Efficient","High Usage")</f>
        <v>Efficient</v>
      </c>
    </row>
    <row r="3" spans="1:15" x14ac:dyDescent="0.3">
      <c r="A3" s="1">
        <v>1</v>
      </c>
      <c r="B3" s="1">
        <v>4</v>
      </c>
      <c r="C3" s="2" t="s">
        <v>11</v>
      </c>
      <c r="D3" s="2" t="s">
        <v>12</v>
      </c>
      <c r="E3" s="4">
        <v>45293</v>
      </c>
      <c r="F3" s="1">
        <v>20.100000000000001</v>
      </c>
      <c r="G3" s="1">
        <v>1.2</v>
      </c>
      <c r="H3" s="1">
        <v>102</v>
      </c>
      <c r="I3" s="1">
        <v>225</v>
      </c>
      <c r="J3" s="1">
        <v>81</v>
      </c>
      <c r="K3" s="3">
        <v>0.03</v>
      </c>
      <c r="L3" s="1">
        <f t="shared" ref="L3:L31" si="0">H3+I3+J3</f>
        <v>408</v>
      </c>
      <c r="M3" s="1">
        <f t="shared" ref="M3:M31" si="1">L3/B3</f>
        <v>102</v>
      </c>
      <c r="N3" s="2" t="str">
        <f t="shared" ref="N3:N31" si="2">IF(K3&gt;0.05,"Possible Leak","Normal")</f>
        <v>Normal</v>
      </c>
      <c r="O3" s="2" t="str">
        <f t="shared" ref="O3:O31" si="3">IF(K3&lt;300,"Efficient","High Usage")</f>
        <v>Efficient</v>
      </c>
    </row>
    <row r="4" spans="1:15" x14ac:dyDescent="0.3">
      <c r="A4" s="1">
        <v>1</v>
      </c>
      <c r="B4" s="1">
        <v>4</v>
      </c>
      <c r="C4" s="2" t="s">
        <v>11</v>
      </c>
      <c r="D4" s="2" t="s">
        <v>12</v>
      </c>
      <c r="E4" s="4">
        <v>45294</v>
      </c>
      <c r="F4" s="1">
        <v>22.5</v>
      </c>
      <c r="G4" s="1">
        <v>0</v>
      </c>
      <c r="H4" s="1">
        <v>98</v>
      </c>
      <c r="I4" s="1">
        <v>235</v>
      </c>
      <c r="J4" s="1">
        <v>76</v>
      </c>
      <c r="K4" s="3">
        <v>0.05</v>
      </c>
      <c r="L4" s="1">
        <f t="shared" si="0"/>
        <v>409</v>
      </c>
      <c r="M4" s="1">
        <f t="shared" si="1"/>
        <v>102.25</v>
      </c>
      <c r="N4" s="2" t="str">
        <f t="shared" si="2"/>
        <v>Normal</v>
      </c>
      <c r="O4" s="2" t="str">
        <f t="shared" si="3"/>
        <v>Efficient</v>
      </c>
    </row>
    <row r="5" spans="1:15" x14ac:dyDescent="0.3">
      <c r="A5" s="1">
        <v>2</v>
      </c>
      <c r="B5" s="1">
        <v>3</v>
      </c>
      <c r="C5" s="2" t="s">
        <v>13</v>
      </c>
      <c r="D5" s="2" t="s">
        <v>14</v>
      </c>
      <c r="E5" s="4">
        <v>45292</v>
      </c>
      <c r="F5" s="1">
        <v>19.8</v>
      </c>
      <c r="G5" s="1">
        <v>0</v>
      </c>
      <c r="H5" s="1">
        <v>75</v>
      </c>
      <c r="I5" s="1">
        <v>180</v>
      </c>
      <c r="J5" s="1">
        <v>65</v>
      </c>
      <c r="K5" s="3">
        <v>0.02</v>
      </c>
      <c r="L5" s="1">
        <f t="shared" si="0"/>
        <v>320</v>
      </c>
      <c r="M5" s="1">
        <f t="shared" si="1"/>
        <v>106.66666666666667</v>
      </c>
      <c r="N5" s="2" t="str">
        <f t="shared" si="2"/>
        <v>Normal</v>
      </c>
      <c r="O5" s="2" t="str">
        <f t="shared" si="3"/>
        <v>Efficient</v>
      </c>
    </row>
    <row r="6" spans="1:15" x14ac:dyDescent="0.3">
      <c r="A6" s="1">
        <v>2</v>
      </c>
      <c r="B6" s="1">
        <v>3</v>
      </c>
      <c r="C6" s="2" t="s">
        <v>13</v>
      </c>
      <c r="D6" s="2" t="s">
        <v>14</v>
      </c>
      <c r="E6" s="4">
        <v>45293</v>
      </c>
      <c r="F6" s="1">
        <v>20.100000000000001</v>
      </c>
      <c r="G6" s="1">
        <v>1.2</v>
      </c>
      <c r="H6" s="1">
        <v>82</v>
      </c>
      <c r="I6" s="1">
        <v>170</v>
      </c>
      <c r="J6" s="1">
        <v>60</v>
      </c>
      <c r="K6" s="3">
        <v>0.03</v>
      </c>
      <c r="L6" s="1">
        <f t="shared" si="0"/>
        <v>312</v>
      </c>
      <c r="M6" s="1">
        <f t="shared" si="1"/>
        <v>104</v>
      </c>
      <c r="N6" s="2" t="str">
        <f t="shared" si="2"/>
        <v>Normal</v>
      </c>
      <c r="O6" s="2" t="str">
        <f t="shared" si="3"/>
        <v>Efficient</v>
      </c>
    </row>
    <row r="7" spans="1:15" x14ac:dyDescent="0.3">
      <c r="A7" s="1">
        <v>2</v>
      </c>
      <c r="B7" s="1">
        <v>3</v>
      </c>
      <c r="C7" s="2" t="s">
        <v>13</v>
      </c>
      <c r="D7" s="2" t="s">
        <v>14</v>
      </c>
      <c r="E7" s="4">
        <v>45294</v>
      </c>
      <c r="F7" s="1">
        <v>22.5</v>
      </c>
      <c r="G7" s="1">
        <v>0</v>
      </c>
      <c r="H7" s="1">
        <v>78</v>
      </c>
      <c r="I7" s="1">
        <v>190</v>
      </c>
      <c r="J7" s="1">
        <v>63</v>
      </c>
      <c r="K7" s="3">
        <v>0.02</v>
      </c>
      <c r="L7" s="1">
        <f t="shared" si="0"/>
        <v>331</v>
      </c>
      <c r="M7" s="1">
        <f t="shared" si="1"/>
        <v>110.33333333333333</v>
      </c>
      <c r="N7" s="2" t="str">
        <f t="shared" si="2"/>
        <v>Normal</v>
      </c>
      <c r="O7" s="2" t="str">
        <f t="shared" si="3"/>
        <v>Efficient</v>
      </c>
    </row>
    <row r="8" spans="1:15" x14ac:dyDescent="0.3">
      <c r="A8" s="1">
        <v>3</v>
      </c>
      <c r="B8" s="1">
        <v>5</v>
      </c>
      <c r="C8" s="2" t="s">
        <v>11</v>
      </c>
      <c r="D8" s="2" t="s">
        <v>15</v>
      </c>
      <c r="E8" s="4">
        <v>45292</v>
      </c>
      <c r="F8" s="1">
        <v>19.8</v>
      </c>
      <c r="G8" s="1">
        <v>0</v>
      </c>
      <c r="H8" s="1">
        <v>115</v>
      </c>
      <c r="I8" s="1">
        <v>260</v>
      </c>
      <c r="J8" s="1">
        <v>92</v>
      </c>
      <c r="K8" s="3">
        <v>0.06</v>
      </c>
      <c r="L8" s="1">
        <f t="shared" si="0"/>
        <v>467</v>
      </c>
      <c r="M8" s="1">
        <f t="shared" si="1"/>
        <v>93.4</v>
      </c>
      <c r="N8" s="2" t="str">
        <f t="shared" si="2"/>
        <v>Possible Leak</v>
      </c>
      <c r="O8" s="2" t="str">
        <f t="shared" si="3"/>
        <v>Efficient</v>
      </c>
    </row>
    <row r="9" spans="1:15" x14ac:dyDescent="0.3">
      <c r="A9" s="1">
        <v>3</v>
      </c>
      <c r="B9" s="1">
        <v>5</v>
      </c>
      <c r="C9" s="2" t="s">
        <v>11</v>
      </c>
      <c r="D9" s="2" t="s">
        <v>15</v>
      </c>
      <c r="E9" s="4">
        <v>45293</v>
      </c>
      <c r="F9" s="1">
        <v>20.100000000000001</v>
      </c>
      <c r="G9" s="1">
        <v>1.2</v>
      </c>
      <c r="H9" s="1">
        <v>122</v>
      </c>
      <c r="I9" s="1">
        <v>275</v>
      </c>
      <c r="J9" s="1">
        <v>95</v>
      </c>
      <c r="K9" s="3">
        <v>0.05</v>
      </c>
      <c r="L9" s="1">
        <f t="shared" si="0"/>
        <v>492</v>
      </c>
      <c r="M9" s="1">
        <f t="shared" si="1"/>
        <v>98.4</v>
      </c>
      <c r="N9" s="2" t="str">
        <f t="shared" si="2"/>
        <v>Normal</v>
      </c>
      <c r="O9" s="2" t="str">
        <f t="shared" si="3"/>
        <v>Efficient</v>
      </c>
    </row>
    <row r="10" spans="1:15" x14ac:dyDescent="0.3">
      <c r="A10" s="1">
        <v>3</v>
      </c>
      <c r="B10" s="1">
        <v>5</v>
      </c>
      <c r="C10" s="2" t="s">
        <v>11</v>
      </c>
      <c r="D10" s="2" t="s">
        <v>15</v>
      </c>
      <c r="E10" s="4">
        <v>45294</v>
      </c>
      <c r="F10" s="1">
        <v>22.5</v>
      </c>
      <c r="G10" s="1">
        <v>0</v>
      </c>
      <c r="H10" s="1">
        <v>118</v>
      </c>
      <c r="I10" s="1">
        <v>285</v>
      </c>
      <c r="J10" s="1">
        <v>90</v>
      </c>
      <c r="K10" s="3">
        <v>7.0000000000000007E-2</v>
      </c>
      <c r="L10" s="1">
        <f t="shared" si="0"/>
        <v>493</v>
      </c>
      <c r="M10" s="1">
        <f t="shared" si="1"/>
        <v>98.6</v>
      </c>
      <c r="N10" s="2" t="str">
        <f t="shared" si="2"/>
        <v>Possible Leak</v>
      </c>
      <c r="O10" s="2" t="str">
        <f t="shared" si="3"/>
        <v>Efficient</v>
      </c>
    </row>
    <row r="11" spans="1:15" x14ac:dyDescent="0.3">
      <c r="A11" s="1">
        <v>4</v>
      </c>
      <c r="B11" s="1">
        <v>2</v>
      </c>
      <c r="C11" s="2" t="s">
        <v>16</v>
      </c>
      <c r="D11" s="2" t="s">
        <v>12</v>
      </c>
      <c r="E11" s="4">
        <v>45292</v>
      </c>
      <c r="F11" s="1">
        <v>19.8</v>
      </c>
      <c r="G11" s="1">
        <v>0</v>
      </c>
      <c r="H11" s="1">
        <v>55</v>
      </c>
      <c r="I11" s="1">
        <v>130</v>
      </c>
      <c r="J11" s="1">
        <v>42</v>
      </c>
      <c r="K11" s="3">
        <v>0.02</v>
      </c>
      <c r="L11" s="1">
        <f t="shared" si="0"/>
        <v>227</v>
      </c>
      <c r="M11" s="1">
        <f t="shared" si="1"/>
        <v>113.5</v>
      </c>
      <c r="N11" s="2" t="str">
        <f t="shared" si="2"/>
        <v>Normal</v>
      </c>
      <c r="O11" s="2" t="str">
        <f t="shared" si="3"/>
        <v>Efficient</v>
      </c>
    </row>
    <row r="12" spans="1:15" x14ac:dyDescent="0.3">
      <c r="A12" s="1">
        <v>4</v>
      </c>
      <c r="B12" s="1">
        <v>2</v>
      </c>
      <c r="C12" s="2" t="s">
        <v>16</v>
      </c>
      <c r="D12" s="2" t="s">
        <v>12</v>
      </c>
      <c r="E12" s="4">
        <v>45293</v>
      </c>
      <c r="F12" s="1">
        <v>20.100000000000001</v>
      </c>
      <c r="G12" s="1">
        <v>1.2</v>
      </c>
      <c r="H12" s="1">
        <v>60</v>
      </c>
      <c r="I12" s="1">
        <v>135</v>
      </c>
      <c r="J12" s="1">
        <v>39</v>
      </c>
      <c r="K12" s="3">
        <v>0.03</v>
      </c>
      <c r="L12" s="1">
        <f t="shared" si="0"/>
        <v>234</v>
      </c>
      <c r="M12" s="1">
        <f t="shared" si="1"/>
        <v>117</v>
      </c>
      <c r="N12" s="2" t="str">
        <f t="shared" si="2"/>
        <v>Normal</v>
      </c>
      <c r="O12" s="2" t="str">
        <f t="shared" si="3"/>
        <v>Efficient</v>
      </c>
    </row>
    <row r="13" spans="1:15" x14ac:dyDescent="0.3">
      <c r="A13" s="1">
        <v>4</v>
      </c>
      <c r="B13" s="1">
        <v>2</v>
      </c>
      <c r="C13" s="2" t="s">
        <v>16</v>
      </c>
      <c r="D13" s="2" t="s">
        <v>12</v>
      </c>
      <c r="E13" s="4">
        <v>45294</v>
      </c>
      <c r="F13" s="1">
        <v>22.5</v>
      </c>
      <c r="G13" s="1">
        <v>0</v>
      </c>
      <c r="H13" s="1">
        <v>57</v>
      </c>
      <c r="I13" s="1">
        <v>142</v>
      </c>
      <c r="J13" s="1">
        <v>40</v>
      </c>
      <c r="K13" s="3">
        <v>0.02</v>
      </c>
      <c r="L13" s="1">
        <f t="shared" si="0"/>
        <v>239</v>
      </c>
      <c r="M13" s="1">
        <f t="shared" si="1"/>
        <v>119.5</v>
      </c>
      <c r="N13" s="2" t="str">
        <f t="shared" si="2"/>
        <v>Normal</v>
      </c>
      <c r="O13" s="2" t="str">
        <f t="shared" si="3"/>
        <v>Efficient</v>
      </c>
    </row>
    <row r="14" spans="1:15" x14ac:dyDescent="0.3">
      <c r="A14" s="1">
        <v>5</v>
      </c>
      <c r="B14" s="1">
        <v>6</v>
      </c>
      <c r="C14" s="2" t="s">
        <v>13</v>
      </c>
      <c r="D14" s="2" t="s">
        <v>14</v>
      </c>
      <c r="E14" s="4">
        <v>45292</v>
      </c>
      <c r="F14" s="1">
        <v>19.8</v>
      </c>
      <c r="G14" s="1">
        <v>0</v>
      </c>
      <c r="H14" s="1">
        <v>130</v>
      </c>
      <c r="I14" s="1">
        <v>320</v>
      </c>
      <c r="J14" s="1">
        <v>110</v>
      </c>
      <c r="K14" s="3">
        <v>0.08</v>
      </c>
      <c r="L14" s="1">
        <f t="shared" si="0"/>
        <v>560</v>
      </c>
      <c r="M14" s="1">
        <f t="shared" si="1"/>
        <v>93.333333333333329</v>
      </c>
      <c r="N14" s="2" t="str">
        <f t="shared" si="2"/>
        <v>Possible Leak</v>
      </c>
      <c r="O14" s="2" t="str">
        <f t="shared" si="3"/>
        <v>Efficient</v>
      </c>
    </row>
    <row r="15" spans="1:15" x14ac:dyDescent="0.3">
      <c r="A15" s="1">
        <v>5</v>
      </c>
      <c r="B15" s="1">
        <v>6</v>
      </c>
      <c r="C15" s="2" t="s">
        <v>13</v>
      </c>
      <c r="D15" s="2" t="s">
        <v>14</v>
      </c>
      <c r="E15" s="4">
        <v>45293</v>
      </c>
      <c r="F15" s="1">
        <v>20.100000000000001</v>
      </c>
      <c r="G15" s="1">
        <v>1.2</v>
      </c>
      <c r="H15" s="1">
        <v>135</v>
      </c>
      <c r="I15" s="1">
        <v>330</v>
      </c>
      <c r="J15" s="1">
        <v>108</v>
      </c>
      <c r="K15" s="3">
        <v>7.0000000000000007E-2</v>
      </c>
      <c r="L15" s="1">
        <f t="shared" si="0"/>
        <v>573</v>
      </c>
      <c r="M15" s="1">
        <f t="shared" si="1"/>
        <v>95.5</v>
      </c>
      <c r="N15" s="2" t="str">
        <f t="shared" si="2"/>
        <v>Possible Leak</v>
      </c>
      <c r="O15" s="2" t="str">
        <f t="shared" si="3"/>
        <v>Efficient</v>
      </c>
    </row>
    <row r="16" spans="1:15" x14ac:dyDescent="0.3">
      <c r="A16" s="1">
        <v>5</v>
      </c>
      <c r="B16" s="1">
        <v>6</v>
      </c>
      <c r="C16" s="2" t="s">
        <v>13</v>
      </c>
      <c r="D16" s="2" t="s">
        <v>14</v>
      </c>
      <c r="E16" s="4">
        <v>45294</v>
      </c>
      <c r="F16" s="1">
        <v>22.5</v>
      </c>
      <c r="G16" s="1">
        <v>0</v>
      </c>
      <c r="H16" s="1">
        <v>140</v>
      </c>
      <c r="I16" s="1">
        <v>345</v>
      </c>
      <c r="J16" s="1">
        <v>112</v>
      </c>
      <c r="K16" s="3">
        <v>0.09</v>
      </c>
      <c r="L16" s="1">
        <f t="shared" si="0"/>
        <v>597</v>
      </c>
      <c r="M16" s="1">
        <f t="shared" si="1"/>
        <v>99.5</v>
      </c>
      <c r="N16" s="2" t="str">
        <f t="shared" si="2"/>
        <v>Possible Leak</v>
      </c>
      <c r="O16" s="2" t="str">
        <f t="shared" si="3"/>
        <v>Efficient</v>
      </c>
    </row>
    <row r="17" spans="1:15" x14ac:dyDescent="0.3">
      <c r="A17" s="1">
        <v>6</v>
      </c>
      <c r="B17" s="1">
        <v>4</v>
      </c>
      <c r="C17" s="2" t="s">
        <v>11</v>
      </c>
      <c r="D17" s="2" t="s">
        <v>15</v>
      </c>
      <c r="E17" s="4">
        <v>45292</v>
      </c>
      <c r="F17" s="1">
        <v>19.8</v>
      </c>
      <c r="G17" s="1">
        <v>0</v>
      </c>
      <c r="H17" s="1">
        <v>95</v>
      </c>
      <c r="I17" s="1">
        <v>210</v>
      </c>
      <c r="J17" s="1">
        <v>78</v>
      </c>
      <c r="K17" s="3">
        <v>0.04</v>
      </c>
      <c r="L17" s="1">
        <f t="shared" si="0"/>
        <v>383</v>
      </c>
      <c r="M17" s="1">
        <f t="shared" si="1"/>
        <v>95.75</v>
      </c>
      <c r="N17" s="2" t="str">
        <f t="shared" si="2"/>
        <v>Normal</v>
      </c>
      <c r="O17" s="2" t="str">
        <f t="shared" si="3"/>
        <v>Efficient</v>
      </c>
    </row>
    <row r="18" spans="1:15" x14ac:dyDescent="0.3">
      <c r="A18" s="1">
        <v>6</v>
      </c>
      <c r="B18" s="1">
        <v>4</v>
      </c>
      <c r="C18" s="2" t="s">
        <v>11</v>
      </c>
      <c r="D18" s="2" t="s">
        <v>15</v>
      </c>
      <c r="E18" s="4">
        <v>45293</v>
      </c>
      <c r="F18" s="1">
        <v>20.100000000000001</v>
      </c>
      <c r="G18" s="1">
        <v>1.2</v>
      </c>
      <c r="H18" s="1">
        <v>101</v>
      </c>
      <c r="I18" s="1">
        <v>220</v>
      </c>
      <c r="J18" s="1">
        <v>79</v>
      </c>
      <c r="K18" s="3">
        <v>0.04</v>
      </c>
      <c r="L18" s="1">
        <f t="shared" si="0"/>
        <v>400</v>
      </c>
      <c r="M18" s="1">
        <f t="shared" si="1"/>
        <v>100</v>
      </c>
      <c r="N18" s="2" t="str">
        <f t="shared" si="2"/>
        <v>Normal</v>
      </c>
      <c r="O18" s="2" t="str">
        <f t="shared" si="3"/>
        <v>Efficient</v>
      </c>
    </row>
    <row r="19" spans="1:15" x14ac:dyDescent="0.3">
      <c r="A19" s="1">
        <v>6</v>
      </c>
      <c r="B19" s="1">
        <v>4</v>
      </c>
      <c r="C19" s="2" t="s">
        <v>11</v>
      </c>
      <c r="D19" s="2" t="s">
        <v>15</v>
      </c>
      <c r="E19" s="4">
        <v>45294</v>
      </c>
      <c r="F19" s="1">
        <v>22.5</v>
      </c>
      <c r="G19" s="1">
        <v>0</v>
      </c>
      <c r="H19" s="1">
        <v>107</v>
      </c>
      <c r="I19" s="1">
        <v>225</v>
      </c>
      <c r="J19" s="1">
        <v>77</v>
      </c>
      <c r="K19" s="3">
        <v>0.05</v>
      </c>
      <c r="L19" s="1">
        <f t="shared" si="0"/>
        <v>409</v>
      </c>
      <c r="M19" s="1">
        <f t="shared" si="1"/>
        <v>102.25</v>
      </c>
      <c r="N19" s="2" t="str">
        <f t="shared" si="2"/>
        <v>Normal</v>
      </c>
      <c r="O19" s="2" t="str">
        <f t="shared" si="3"/>
        <v>Efficient</v>
      </c>
    </row>
    <row r="20" spans="1:15" x14ac:dyDescent="0.3">
      <c r="A20" s="1">
        <v>7</v>
      </c>
      <c r="B20" s="1">
        <v>3</v>
      </c>
      <c r="C20" s="2" t="s">
        <v>13</v>
      </c>
      <c r="D20" s="2" t="s">
        <v>12</v>
      </c>
      <c r="E20" s="4">
        <v>45292</v>
      </c>
      <c r="F20" s="1">
        <v>19.8</v>
      </c>
      <c r="G20" s="1">
        <v>0</v>
      </c>
      <c r="H20" s="1">
        <v>72</v>
      </c>
      <c r="I20" s="1">
        <v>160</v>
      </c>
      <c r="J20" s="1">
        <v>56</v>
      </c>
      <c r="K20" s="3">
        <v>0.02</v>
      </c>
      <c r="L20" s="1">
        <f t="shared" si="0"/>
        <v>288</v>
      </c>
      <c r="M20" s="1">
        <f t="shared" si="1"/>
        <v>96</v>
      </c>
      <c r="N20" s="2" t="str">
        <f t="shared" si="2"/>
        <v>Normal</v>
      </c>
      <c r="O20" s="2" t="str">
        <f t="shared" si="3"/>
        <v>Efficient</v>
      </c>
    </row>
    <row r="21" spans="1:15" x14ac:dyDescent="0.3">
      <c r="A21" s="1">
        <v>7</v>
      </c>
      <c r="B21" s="1">
        <v>3</v>
      </c>
      <c r="C21" s="2" t="s">
        <v>13</v>
      </c>
      <c r="D21" s="2" t="s">
        <v>12</v>
      </c>
      <c r="E21" s="4">
        <v>45293</v>
      </c>
      <c r="F21" s="1">
        <v>20.100000000000001</v>
      </c>
      <c r="G21" s="1">
        <v>1.2</v>
      </c>
      <c r="H21" s="1">
        <v>75</v>
      </c>
      <c r="I21" s="1">
        <v>170</v>
      </c>
      <c r="J21" s="1">
        <v>57</v>
      </c>
      <c r="K21" s="3">
        <v>0.03</v>
      </c>
      <c r="L21" s="1">
        <f t="shared" si="0"/>
        <v>302</v>
      </c>
      <c r="M21" s="1">
        <f t="shared" si="1"/>
        <v>100.66666666666667</v>
      </c>
      <c r="N21" s="2" t="str">
        <f t="shared" si="2"/>
        <v>Normal</v>
      </c>
      <c r="O21" s="2" t="str">
        <f t="shared" si="3"/>
        <v>Efficient</v>
      </c>
    </row>
    <row r="22" spans="1:15" x14ac:dyDescent="0.3">
      <c r="A22" s="1">
        <v>7</v>
      </c>
      <c r="B22" s="1">
        <v>3</v>
      </c>
      <c r="C22" s="2" t="s">
        <v>13</v>
      </c>
      <c r="D22" s="2" t="s">
        <v>12</v>
      </c>
      <c r="E22" s="4">
        <v>45294</v>
      </c>
      <c r="F22" s="1">
        <v>22.5</v>
      </c>
      <c r="G22" s="1">
        <v>0</v>
      </c>
      <c r="H22" s="1">
        <v>78</v>
      </c>
      <c r="I22" s="1">
        <v>175</v>
      </c>
      <c r="J22" s="1">
        <v>55</v>
      </c>
      <c r="K22" s="3">
        <v>0.03</v>
      </c>
      <c r="L22" s="1">
        <f t="shared" si="0"/>
        <v>308</v>
      </c>
      <c r="M22" s="1">
        <f t="shared" si="1"/>
        <v>102.66666666666667</v>
      </c>
      <c r="N22" s="2" t="str">
        <f t="shared" si="2"/>
        <v>Normal</v>
      </c>
      <c r="O22" s="2" t="str">
        <f t="shared" si="3"/>
        <v>Efficient</v>
      </c>
    </row>
    <row r="23" spans="1:15" x14ac:dyDescent="0.3">
      <c r="A23" s="1">
        <v>8</v>
      </c>
      <c r="B23" s="1">
        <v>5</v>
      </c>
      <c r="C23" s="2" t="s">
        <v>16</v>
      </c>
      <c r="D23" s="2" t="s">
        <v>14</v>
      </c>
      <c r="E23" s="4">
        <v>45292</v>
      </c>
      <c r="F23" s="1">
        <v>19.8</v>
      </c>
      <c r="G23" s="1">
        <v>0</v>
      </c>
      <c r="H23" s="1">
        <v>110</v>
      </c>
      <c r="I23" s="1">
        <v>250</v>
      </c>
      <c r="J23" s="1">
        <v>88</v>
      </c>
      <c r="K23" s="3">
        <v>0.06</v>
      </c>
      <c r="L23" s="1">
        <f t="shared" si="0"/>
        <v>448</v>
      </c>
      <c r="M23" s="1">
        <f t="shared" si="1"/>
        <v>89.6</v>
      </c>
      <c r="N23" s="2" t="str">
        <f t="shared" si="2"/>
        <v>Possible Leak</v>
      </c>
      <c r="O23" s="2" t="str">
        <f t="shared" si="3"/>
        <v>Efficient</v>
      </c>
    </row>
    <row r="24" spans="1:15" x14ac:dyDescent="0.3">
      <c r="A24" s="1">
        <v>8</v>
      </c>
      <c r="B24" s="1">
        <v>5</v>
      </c>
      <c r="C24" s="2" t="s">
        <v>16</v>
      </c>
      <c r="D24" s="2" t="s">
        <v>14</v>
      </c>
      <c r="E24" s="4">
        <v>45293</v>
      </c>
      <c r="F24" s="1">
        <v>20.100000000000001</v>
      </c>
      <c r="G24" s="1">
        <v>1.2</v>
      </c>
      <c r="H24" s="1">
        <v>118</v>
      </c>
      <c r="I24" s="1">
        <v>260</v>
      </c>
      <c r="J24" s="1">
        <v>85</v>
      </c>
      <c r="K24" s="3">
        <v>0.05</v>
      </c>
      <c r="L24" s="1">
        <f t="shared" si="0"/>
        <v>463</v>
      </c>
      <c r="M24" s="1">
        <f t="shared" si="1"/>
        <v>92.6</v>
      </c>
      <c r="N24" s="2" t="str">
        <f t="shared" si="2"/>
        <v>Normal</v>
      </c>
      <c r="O24" s="2" t="str">
        <f t="shared" si="3"/>
        <v>Efficient</v>
      </c>
    </row>
    <row r="25" spans="1:15" x14ac:dyDescent="0.3">
      <c r="A25" s="1">
        <v>8</v>
      </c>
      <c r="B25" s="1">
        <v>5</v>
      </c>
      <c r="C25" s="2" t="s">
        <v>16</v>
      </c>
      <c r="D25" s="2" t="s">
        <v>14</v>
      </c>
      <c r="E25" s="4">
        <v>45294</v>
      </c>
      <c r="F25" s="1">
        <v>22.5</v>
      </c>
      <c r="G25" s="1">
        <v>0</v>
      </c>
      <c r="H25" s="1">
        <v>115</v>
      </c>
      <c r="I25" s="1">
        <v>270</v>
      </c>
      <c r="J25" s="1">
        <v>90</v>
      </c>
      <c r="K25" s="3">
        <v>0.06</v>
      </c>
      <c r="L25" s="1">
        <f t="shared" si="0"/>
        <v>475</v>
      </c>
      <c r="M25" s="1">
        <f t="shared" si="1"/>
        <v>95</v>
      </c>
      <c r="N25" s="2" t="str">
        <f t="shared" si="2"/>
        <v>Possible Leak</v>
      </c>
      <c r="O25" s="2" t="str">
        <f t="shared" si="3"/>
        <v>Efficient</v>
      </c>
    </row>
    <row r="26" spans="1:15" x14ac:dyDescent="0.3">
      <c r="A26" s="1">
        <v>9</v>
      </c>
      <c r="B26" s="1">
        <v>4</v>
      </c>
      <c r="C26" s="2" t="s">
        <v>11</v>
      </c>
      <c r="D26" s="2" t="s">
        <v>15</v>
      </c>
      <c r="E26" s="4">
        <v>45292</v>
      </c>
      <c r="F26" s="1">
        <v>19.8</v>
      </c>
      <c r="G26" s="1">
        <v>0</v>
      </c>
      <c r="H26" s="1">
        <v>90</v>
      </c>
      <c r="I26" s="1">
        <v>200</v>
      </c>
      <c r="J26" s="1">
        <v>70</v>
      </c>
      <c r="K26" s="3">
        <v>0.03</v>
      </c>
      <c r="L26" s="1">
        <f t="shared" si="0"/>
        <v>360</v>
      </c>
      <c r="M26" s="1">
        <f t="shared" si="1"/>
        <v>90</v>
      </c>
      <c r="N26" s="2" t="str">
        <f t="shared" si="2"/>
        <v>Normal</v>
      </c>
      <c r="O26" s="2" t="str">
        <f t="shared" si="3"/>
        <v>Efficient</v>
      </c>
    </row>
    <row r="27" spans="1:15" x14ac:dyDescent="0.3">
      <c r="A27" s="1">
        <v>9</v>
      </c>
      <c r="B27" s="1">
        <v>4</v>
      </c>
      <c r="C27" s="2" t="s">
        <v>11</v>
      </c>
      <c r="D27" s="2" t="s">
        <v>15</v>
      </c>
      <c r="E27" s="4">
        <v>45293</v>
      </c>
      <c r="F27" s="1">
        <v>20.100000000000001</v>
      </c>
      <c r="G27" s="1">
        <v>1.2</v>
      </c>
      <c r="H27" s="1">
        <v>95</v>
      </c>
      <c r="I27" s="1">
        <v>210</v>
      </c>
      <c r="J27" s="1">
        <v>72</v>
      </c>
      <c r="K27" s="3">
        <v>0.04</v>
      </c>
      <c r="L27" s="1">
        <f t="shared" si="0"/>
        <v>377</v>
      </c>
      <c r="M27" s="1">
        <f t="shared" si="1"/>
        <v>94.25</v>
      </c>
      <c r="N27" s="2" t="str">
        <f t="shared" si="2"/>
        <v>Normal</v>
      </c>
      <c r="O27" s="2" t="str">
        <f t="shared" si="3"/>
        <v>Efficient</v>
      </c>
    </row>
    <row r="28" spans="1:15" x14ac:dyDescent="0.3">
      <c r="A28" s="1">
        <v>9</v>
      </c>
      <c r="B28" s="1">
        <v>4</v>
      </c>
      <c r="C28" s="2" t="s">
        <v>11</v>
      </c>
      <c r="D28" s="2" t="s">
        <v>15</v>
      </c>
      <c r="E28" s="4">
        <v>45294</v>
      </c>
      <c r="F28" s="1">
        <v>22.5</v>
      </c>
      <c r="G28" s="1">
        <v>0</v>
      </c>
      <c r="H28" s="1">
        <v>97</v>
      </c>
      <c r="I28" s="1">
        <v>215</v>
      </c>
      <c r="J28" s="1">
        <v>71</v>
      </c>
      <c r="K28" s="3">
        <v>0.04</v>
      </c>
      <c r="L28" s="1">
        <f t="shared" si="0"/>
        <v>383</v>
      </c>
      <c r="M28" s="1">
        <f t="shared" si="1"/>
        <v>95.75</v>
      </c>
      <c r="N28" s="2" t="str">
        <f t="shared" si="2"/>
        <v>Normal</v>
      </c>
      <c r="O28" s="2" t="str">
        <f t="shared" si="3"/>
        <v>Efficient</v>
      </c>
    </row>
    <row r="29" spans="1:15" x14ac:dyDescent="0.3">
      <c r="A29" s="1">
        <v>10</v>
      </c>
      <c r="B29" s="1">
        <v>2</v>
      </c>
      <c r="C29" s="2" t="s">
        <v>13</v>
      </c>
      <c r="D29" s="2" t="s">
        <v>12</v>
      </c>
      <c r="E29" s="4">
        <v>45292</v>
      </c>
      <c r="F29" s="1">
        <v>19.8</v>
      </c>
      <c r="G29" s="1">
        <v>0</v>
      </c>
      <c r="H29" s="1">
        <v>60</v>
      </c>
      <c r="I29" s="1">
        <v>150</v>
      </c>
      <c r="J29" s="1">
        <v>48</v>
      </c>
      <c r="K29" s="3">
        <v>0.02</v>
      </c>
      <c r="L29" s="1">
        <f t="shared" si="0"/>
        <v>258</v>
      </c>
      <c r="M29" s="1">
        <f t="shared" si="1"/>
        <v>129</v>
      </c>
      <c r="N29" s="2" t="str">
        <f t="shared" si="2"/>
        <v>Normal</v>
      </c>
      <c r="O29" s="2" t="str">
        <f t="shared" si="3"/>
        <v>Efficient</v>
      </c>
    </row>
    <row r="30" spans="1:15" x14ac:dyDescent="0.3">
      <c r="A30" s="1">
        <v>10</v>
      </c>
      <c r="B30" s="1">
        <v>2</v>
      </c>
      <c r="C30" s="2" t="s">
        <v>13</v>
      </c>
      <c r="D30" s="2" t="s">
        <v>12</v>
      </c>
      <c r="E30" s="4">
        <v>45293</v>
      </c>
      <c r="F30" s="1">
        <v>20.100000000000001</v>
      </c>
      <c r="G30" s="1">
        <v>1.2</v>
      </c>
      <c r="H30" s="1">
        <v>65</v>
      </c>
      <c r="I30" s="1">
        <v>155</v>
      </c>
      <c r="J30" s="1">
        <v>50</v>
      </c>
      <c r="K30" s="3">
        <v>0.03</v>
      </c>
      <c r="L30" s="1">
        <f t="shared" si="0"/>
        <v>270</v>
      </c>
      <c r="M30" s="1">
        <f t="shared" si="1"/>
        <v>135</v>
      </c>
      <c r="N30" s="2" t="str">
        <f t="shared" si="2"/>
        <v>Normal</v>
      </c>
      <c r="O30" s="2" t="str">
        <f t="shared" si="3"/>
        <v>Efficient</v>
      </c>
    </row>
    <row r="31" spans="1:15" x14ac:dyDescent="0.3">
      <c r="A31" s="1">
        <v>10</v>
      </c>
      <c r="B31" s="1">
        <v>2</v>
      </c>
      <c r="C31" s="2" t="s">
        <v>13</v>
      </c>
      <c r="D31" s="2" t="s">
        <v>12</v>
      </c>
      <c r="E31" s="4">
        <v>45294</v>
      </c>
      <c r="F31" s="1">
        <v>22.5</v>
      </c>
      <c r="G31" s="1">
        <v>0</v>
      </c>
      <c r="H31" s="1">
        <v>62</v>
      </c>
      <c r="I31" s="1">
        <v>160</v>
      </c>
      <c r="J31" s="1">
        <v>49</v>
      </c>
      <c r="K31" s="3">
        <v>0.03</v>
      </c>
      <c r="L31" s="1">
        <f t="shared" si="0"/>
        <v>271</v>
      </c>
      <c r="M31" s="1">
        <f t="shared" si="1"/>
        <v>135.5</v>
      </c>
      <c r="N31" s="2" t="str">
        <f t="shared" si="2"/>
        <v>Normal</v>
      </c>
      <c r="O31" s="2" t="str">
        <f t="shared" si="3"/>
        <v>Efficient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jyothi</dc:creator>
  <cp:lastModifiedBy>v jyothi</cp:lastModifiedBy>
  <dcterms:created xsi:type="dcterms:W3CDTF">2025-12-13T05:12:35Z</dcterms:created>
  <dcterms:modified xsi:type="dcterms:W3CDTF">2026-01-24T05:21:47Z</dcterms:modified>
</cp:coreProperties>
</file>